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omantas\Desktop\"/>
    </mc:Choice>
  </mc:AlternateContent>
  <xr:revisionPtr revIDLastSave="0" documentId="13_ncr:1_{BD63B972-AEAC-4249-BE8B-DE061AB19ADE}" xr6:coauthVersionLast="47" xr6:coauthVersionMax="47" xr10:uidLastSave="{00000000-0000-0000-0000-000000000000}"/>
  <bookViews>
    <workbookView xWindow="13320" yWindow="2610" windowWidth="12435" windowHeight="9810" xr2:uid="{00000000-000D-0000-FFFF-FFFF00000000}"/>
  </bookViews>
  <sheets>
    <sheet name="Data" sheetId="1" r:id="rId1"/>
    <sheet name="Meta" sheetId="2" r:id="rId2"/>
  </sheets>
  <definedNames>
    <definedName name="_xlnm._FilterDatabase" localSheetId="1" hidden="1">Meta!$A$1:$E$33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D3" i="1" s="1"/>
  <c r="C3" i="1"/>
  <c r="E3" i="1" s="1"/>
  <c r="B4" i="1"/>
  <c r="D4" i="1" s="1"/>
  <c r="C4" i="1"/>
  <c r="E4" i="1"/>
  <c r="B5" i="1"/>
  <c r="D5" i="1" s="1"/>
  <c r="C5" i="1"/>
  <c r="E5" i="1" s="1"/>
  <c r="B6" i="1"/>
  <c r="D6" i="1" s="1"/>
  <c r="C6" i="1"/>
  <c r="E6" i="1" s="1"/>
  <c r="B7" i="1"/>
  <c r="D7" i="1" s="1"/>
  <c r="C7" i="1"/>
  <c r="E7" i="1" s="1"/>
  <c r="B8" i="1"/>
  <c r="D8" i="1" s="1"/>
  <c r="C8" i="1"/>
  <c r="E8" i="1" s="1"/>
  <c r="B9" i="1"/>
  <c r="D9" i="1" s="1"/>
  <c r="C9" i="1"/>
  <c r="E9" i="1"/>
  <c r="B10" i="1"/>
  <c r="D10" i="1" s="1"/>
  <c r="C10" i="1"/>
  <c r="E10" i="1" s="1"/>
  <c r="B11" i="1"/>
  <c r="C11" i="1"/>
  <c r="E11" i="1" s="1"/>
  <c r="D11" i="1"/>
  <c r="B12" i="1"/>
  <c r="D12" i="1" s="1"/>
  <c r="C12" i="1"/>
  <c r="E12" i="1" s="1"/>
  <c r="B13" i="1"/>
  <c r="D13" i="1" s="1"/>
  <c r="C13" i="1"/>
  <c r="E13" i="1" s="1"/>
  <c r="B14" i="1"/>
  <c r="C14" i="1"/>
  <c r="D14" i="1"/>
  <c r="E14" i="1"/>
  <c r="C2" i="1"/>
  <c r="E2" i="1" s="1"/>
  <c r="B2" i="1"/>
  <c r="D2" i="1" s="1"/>
  <c r="I23" i="2"/>
  <c r="H23" i="2"/>
  <c r="I22" i="2"/>
  <c r="H22" i="2"/>
  <c r="I13" i="2"/>
  <c r="J13" i="2"/>
  <c r="H13" i="2"/>
  <c r="I12" i="2"/>
  <c r="J12" i="2"/>
  <c r="H12" i="2"/>
  <c r="I11" i="2"/>
  <c r="J11" i="2"/>
  <c r="H11" i="2"/>
  <c r="I10" i="2"/>
  <c r="J10" i="2"/>
  <c r="H10" i="2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<sst xmlns="http://schemas.openxmlformats.org/spreadsheetml/2006/main" count="197" uniqueCount="29">
  <si>
    <t>Filename</t>
  </si>
  <si>
    <t>Type</t>
  </si>
  <si>
    <t>X</t>
  </si>
  <si>
    <t>Y</t>
  </si>
  <si>
    <t>W</t>
  </si>
  <si>
    <t>H</t>
  </si>
  <si>
    <t>F_W</t>
  </si>
  <si>
    <t>F_H</t>
  </si>
  <si>
    <t>OTHER</t>
  </si>
  <si>
    <t>PUZZLE</t>
  </si>
  <si>
    <t>WORDLIST</t>
  </si>
  <si>
    <t>Used for</t>
  </si>
  <si>
    <t>Always</t>
  </si>
  <si>
    <t>Train</t>
  </si>
  <si>
    <t>Yes</t>
  </si>
  <si>
    <t>No</t>
  </si>
  <si>
    <t>Test</t>
  </si>
  <si>
    <t>Special</t>
  </si>
  <si>
    <t>Overflow</t>
  </si>
  <si>
    <t>Valid</t>
  </si>
  <si>
    <t>Expected</t>
  </si>
  <si>
    <t>Sometimes</t>
  </si>
  <si>
    <t>Actual</t>
  </si>
  <si>
    <t>Non-Special</t>
  </si>
  <si>
    <t>X_BOT_R_RATIO</t>
  </si>
  <si>
    <t>X_TOP_L_RATIO</t>
  </si>
  <si>
    <t>Y_TOP_L_RATIO</t>
  </si>
  <si>
    <t>Y_BOT_R_RATIO</t>
  </si>
  <si>
    <t>exmpl.jpg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</si>
</sst>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70" zoomScaleNormal="70" workbookViewId="0">
      <selection activeCell="K11" sqref="K11"/>
    </sheetView>
  </sheetViews>
  <sheetFormatPr defaultRowHeight="15" x14ac:dyDescent="0.25"/>
  <cols>
    <col min="1" max="1" width="25.140625" customWidth="1"/>
    <col min="2" max="2" width="15.140625" bestFit="1" customWidth="1"/>
    <col min="3" max="3" width="15" bestFit="1" customWidth="1"/>
    <col min="4" max="4" width="15.42578125" bestFit="1" customWidth="1"/>
    <col min="5" max="5" width="15.28515625" bestFit="1" customWidth="1"/>
    <col min="6" max="6" width="10.140625" customWidth="1"/>
    <col min="15" max="19" width="8.85546875" customWidth="1"/>
  </cols>
  <sheetData>
    <row r="1" spans="1:12" x14ac:dyDescent="0.25">
      <c r="A1" t="s">
        <v>0</v>
      </c>
      <c r="B1" t="s">
        <v>25</v>
      </c>
      <c r="C1" t="s">
        <v>26</v>
      </c>
      <c r="D1" t="s">
        <v>24</v>
      </c>
      <c r="E1" t="s">
        <v>27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25">
      <c r="A2" t="s">
        <v>28</v>
      </c>
      <c r="B2">
        <f>ROUND(G2/K2,4)</f>
        <v>2.1999999999999999E-2</v>
      </c>
      <c r="C2">
        <f>ROUND(H2/L2,4)</f>
        <v>1.9099999999999999E-2</v>
      </c>
      <c r="D2">
        <f>ROUND(I2/K2+B2,4)</f>
        <v>5.8500000000000003E-2</v>
      </c>
      <c r="E2">
        <f>ROUND(J2/L2+C2,4)</f>
        <v>5.3100000000000001E-2</v>
      </c>
      <c r="F2" t="s">
        <v>8</v>
      </c>
      <c r="G2">
        <v>62</v>
      </c>
      <c r="H2">
        <v>41</v>
      </c>
      <c r="I2">
        <v>103</v>
      </c>
      <c r="J2">
        <v>73</v>
      </c>
      <c r="K2">
        <v>2824</v>
      </c>
      <c r="L2">
        <v>2147</v>
      </c>
    </row>
    <row r="3" spans="1:12" x14ac:dyDescent="0.25">
      <c r="A3" t="s">
        <v>28</v>
      </c>
      <c r="B3">
        <f t="shared" ref="B3:B66" si="0">ROUND(G3/K3,4)</f>
        <v>0.20180000000000001</v>
      </c>
      <c r="C3">
        <f t="shared" ref="C3:C66" si="1">ROUND(H3/L3,4)</f>
        <v>7.17E-2</v>
      </c>
      <c r="D3">
        <f t="shared" ref="D3:D66" si="2">ROUND(I3/K3+B3,4)</f>
        <v>0.29459999999999997</v>
      </c>
      <c r="E3">
        <f t="shared" ref="E3:E66" si="3">ROUND(J3/L3+C3,4)</f>
        <v>9.3100000000000002E-2</v>
      </c>
      <c r="F3" t="s">
        <v>8</v>
      </c>
      <c r="G3">
        <v>570</v>
      </c>
      <c r="H3">
        <v>154</v>
      </c>
      <c r="I3">
        <v>262</v>
      </c>
      <c r="J3">
        <v>46</v>
      </c>
      <c r="K3">
        <v>2824</v>
      </c>
      <c r="L3">
        <v>2147</v>
      </c>
    </row>
    <row r="4" spans="1:12" x14ac:dyDescent="0.25">
      <c r="A4" t="s">
        <v>28</v>
      </c>
      <c r="B4">
        <f t="shared" si="0"/>
        <v>4.2099999999999999E-2</v>
      </c>
      <c r="C4">
        <f t="shared" si="1"/>
        <v>0.94969999999999999</v>
      </c>
      <c r="D4">
        <f t="shared" si="2"/>
        <v>5.91E-2</v>
      </c>
      <c r="E4">
        <f t="shared" si="3"/>
        <v>0.96460000000000001</v>
      </c>
      <c r="F4" t="s">
        <v>8</v>
      </c>
      <c r="G4">
        <v>119</v>
      </c>
      <c r="H4">
        <v>2039</v>
      </c>
      <c r="I4">
        <v>48</v>
      </c>
      <c r="J4">
        <v>32</v>
      </c>
      <c r="K4">
        <v>2824</v>
      </c>
      <c r="L4">
        <v>2147</v>
      </c>
    </row>
    <row r="5" spans="1:12" x14ac:dyDescent="0.25">
      <c r="A5" t="s">
        <v>28</v>
      </c>
      <c r="B5">
        <f t="shared" si="0"/>
        <v>0.94189999999999996</v>
      </c>
      <c r="C5">
        <f t="shared" si="1"/>
        <v>0.02</v>
      </c>
      <c r="D5">
        <f t="shared" si="2"/>
        <v>0.97909999999999997</v>
      </c>
      <c r="E5">
        <f t="shared" si="3"/>
        <v>5.45E-2</v>
      </c>
      <c r="F5" t="s">
        <v>8</v>
      </c>
      <c r="G5">
        <v>2660</v>
      </c>
      <c r="H5">
        <v>43</v>
      </c>
      <c r="I5">
        <v>105</v>
      </c>
      <c r="J5">
        <v>74</v>
      </c>
      <c r="K5">
        <v>2824</v>
      </c>
      <c r="L5">
        <v>2147</v>
      </c>
    </row>
    <row r="6" spans="1:12" x14ac:dyDescent="0.25">
      <c r="A6" t="s">
        <v>28</v>
      </c>
      <c r="B6">
        <f t="shared" si="0"/>
        <v>0.70179999999999998</v>
      </c>
      <c r="C6">
        <f t="shared" si="1"/>
        <v>7.17E-2</v>
      </c>
      <c r="D6">
        <f t="shared" si="2"/>
        <v>0.79490000000000005</v>
      </c>
      <c r="E6">
        <f t="shared" si="3"/>
        <v>9.3100000000000002E-2</v>
      </c>
      <c r="F6" t="s">
        <v>8</v>
      </c>
      <c r="G6">
        <v>1982</v>
      </c>
      <c r="H6">
        <v>154</v>
      </c>
      <c r="I6">
        <v>263</v>
      </c>
      <c r="J6">
        <v>46</v>
      </c>
      <c r="K6">
        <v>2824</v>
      </c>
      <c r="L6">
        <v>2147</v>
      </c>
    </row>
    <row r="7" spans="1:12" x14ac:dyDescent="0.25">
      <c r="A7" t="s">
        <v>28</v>
      </c>
      <c r="B7">
        <f t="shared" si="0"/>
        <v>0.70430000000000004</v>
      </c>
      <c r="C7">
        <f t="shared" si="1"/>
        <v>0.90920000000000001</v>
      </c>
      <c r="D7">
        <f t="shared" si="2"/>
        <v>0.71140000000000003</v>
      </c>
      <c r="E7">
        <f t="shared" si="3"/>
        <v>0.91759999999999997</v>
      </c>
      <c r="F7" t="s">
        <v>8</v>
      </c>
      <c r="G7">
        <v>1989</v>
      </c>
      <c r="H7">
        <v>1952</v>
      </c>
      <c r="I7">
        <v>20</v>
      </c>
      <c r="J7">
        <v>18</v>
      </c>
      <c r="K7">
        <v>2824</v>
      </c>
      <c r="L7">
        <v>2147</v>
      </c>
    </row>
    <row r="8" spans="1:12" x14ac:dyDescent="0.25">
      <c r="A8" t="s">
        <v>28</v>
      </c>
      <c r="B8">
        <f t="shared" si="0"/>
        <v>0.74399999999999999</v>
      </c>
      <c r="C8">
        <f t="shared" si="1"/>
        <v>0.90869999999999995</v>
      </c>
      <c r="D8">
        <f t="shared" si="2"/>
        <v>0.75109999999999999</v>
      </c>
      <c r="E8">
        <f t="shared" si="3"/>
        <v>0.91710000000000003</v>
      </c>
      <c r="F8" t="s">
        <v>8</v>
      </c>
      <c r="G8">
        <v>2101</v>
      </c>
      <c r="H8">
        <v>1951</v>
      </c>
      <c r="I8">
        <v>20</v>
      </c>
      <c r="J8">
        <v>18</v>
      </c>
      <c r="K8">
        <v>2824</v>
      </c>
      <c r="L8">
        <v>2147</v>
      </c>
    </row>
    <row r="9" spans="1:12" x14ac:dyDescent="0.25">
      <c r="A9" t="s">
        <v>28</v>
      </c>
      <c r="B9">
        <f t="shared" si="0"/>
        <v>0.78290000000000004</v>
      </c>
      <c r="C9">
        <f t="shared" si="1"/>
        <v>0.90780000000000005</v>
      </c>
      <c r="D9">
        <f t="shared" si="2"/>
        <v>0.79</v>
      </c>
      <c r="E9">
        <f t="shared" si="3"/>
        <v>0.91620000000000001</v>
      </c>
      <c r="F9" t="s">
        <v>8</v>
      </c>
      <c r="G9">
        <v>2211</v>
      </c>
      <c r="H9">
        <v>1949</v>
      </c>
      <c r="I9">
        <v>20</v>
      </c>
      <c r="J9">
        <v>18</v>
      </c>
      <c r="K9">
        <v>2824</v>
      </c>
      <c r="L9">
        <v>2147</v>
      </c>
    </row>
    <row r="10" spans="1:12" x14ac:dyDescent="0.25">
      <c r="A10" t="s">
        <v>28</v>
      </c>
      <c r="B10">
        <f t="shared" si="0"/>
        <v>0.82399999999999995</v>
      </c>
      <c r="C10">
        <f t="shared" si="1"/>
        <v>0.90959999999999996</v>
      </c>
      <c r="D10">
        <f t="shared" si="2"/>
        <v>0.83109999999999995</v>
      </c>
      <c r="E10">
        <f t="shared" si="3"/>
        <v>0.91469999999999996</v>
      </c>
      <c r="F10" t="s">
        <v>8</v>
      </c>
      <c r="G10">
        <v>2327</v>
      </c>
      <c r="H10">
        <v>1953</v>
      </c>
      <c r="I10">
        <v>20</v>
      </c>
      <c r="J10">
        <v>11</v>
      </c>
      <c r="K10">
        <v>2824</v>
      </c>
      <c r="L10">
        <v>2147</v>
      </c>
    </row>
    <row r="11" spans="1:12" x14ac:dyDescent="0.25">
      <c r="A11" t="s">
        <v>28</v>
      </c>
      <c r="B11">
        <f t="shared" si="0"/>
        <v>0.04</v>
      </c>
      <c r="C11">
        <f t="shared" si="1"/>
        <v>0.11219999999999999</v>
      </c>
      <c r="D11">
        <f t="shared" si="2"/>
        <v>0.46529999999999999</v>
      </c>
      <c r="E11">
        <f t="shared" si="3"/>
        <v>0.64219999999999999</v>
      </c>
      <c r="F11" t="s">
        <v>9</v>
      </c>
      <c r="G11">
        <v>113</v>
      </c>
      <c r="H11">
        <v>241</v>
      </c>
      <c r="I11">
        <v>1201</v>
      </c>
      <c r="J11">
        <v>1138</v>
      </c>
      <c r="K11">
        <v>2824</v>
      </c>
      <c r="L11">
        <v>2147</v>
      </c>
    </row>
    <row r="12" spans="1:12" x14ac:dyDescent="0.25">
      <c r="A12" t="s">
        <v>28</v>
      </c>
      <c r="B12">
        <f t="shared" si="0"/>
        <v>0.54</v>
      </c>
      <c r="C12">
        <f t="shared" si="1"/>
        <v>0.11219999999999999</v>
      </c>
      <c r="D12">
        <f t="shared" si="2"/>
        <v>0.96530000000000005</v>
      </c>
      <c r="E12">
        <f t="shared" si="3"/>
        <v>0.64219999999999999</v>
      </c>
      <c r="F12" t="s">
        <v>9</v>
      </c>
      <c r="G12">
        <v>1525</v>
      </c>
      <c r="H12">
        <v>241</v>
      </c>
      <c r="I12">
        <v>1201</v>
      </c>
      <c r="J12">
        <v>1138</v>
      </c>
      <c r="K12">
        <v>2824</v>
      </c>
      <c r="L12">
        <v>2147</v>
      </c>
    </row>
    <row r="13" spans="1:12" x14ac:dyDescent="0.25">
      <c r="A13" t="s">
        <v>28</v>
      </c>
      <c r="B13">
        <f t="shared" si="0"/>
        <v>4.36E-2</v>
      </c>
      <c r="C13">
        <f t="shared" si="1"/>
        <v>0.66190000000000004</v>
      </c>
      <c r="D13">
        <f t="shared" si="2"/>
        <v>0.46889999999999998</v>
      </c>
      <c r="E13">
        <f t="shared" si="3"/>
        <v>0.86780000000000002</v>
      </c>
      <c r="F13" t="s">
        <v>10</v>
      </c>
      <c r="G13">
        <v>123</v>
      </c>
      <c r="H13">
        <v>1421</v>
      </c>
      <c r="I13">
        <v>1201</v>
      </c>
      <c r="J13">
        <v>442</v>
      </c>
      <c r="K13">
        <v>2824</v>
      </c>
      <c r="L13">
        <v>2147</v>
      </c>
    </row>
    <row r="14" spans="1:12" x14ac:dyDescent="0.25">
      <c r="A14" t="s">
        <v>28</v>
      </c>
      <c r="B14">
        <f t="shared" si="0"/>
        <v>0.55210000000000004</v>
      </c>
      <c r="C14">
        <f t="shared" si="1"/>
        <v>0.65910000000000002</v>
      </c>
      <c r="D14">
        <f t="shared" si="2"/>
        <v>0.95509999999999995</v>
      </c>
      <c r="E14">
        <f t="shared" si="3"/>
        <v>0.87009999999999998</v>
      </c>
      <c r="F14" t="s">
        <v>10</v>
      </c>
      <c r="G14">
        <v>1559</v>
      </c>
      <c r="H14">
        <v>1415</v>
      </c>
      <c r="I14">
        <v>1138</v>
      </c>
      <c r="J14">
        <v>453</v>
      </c>
      <c r="K14">
        <v>2824</v>
      </c>
      <c r="L14">
        <v>2147</v>
      </c>
    </row>
  </sheetData>
  <sortState xmlns:xlrd2="http://schemas.microsoft.com/office/spreadsheetml/2017/richdata2" ref="A2:L408">
    <sortCondition ref="A2:A4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08C4-4A7E-43AA-9745-E1C02D564238}">
  <dimension ref="A1:J33"/>
  <sheetViews>
    <sheetView workbookViewId="0">
      <selection activeCell="H26" sqref="H26"/>
    </sheetView>
  </sheetViews>
  <sheetFormatPr defaultRowHeight="15" x14ac:dyDescent="0.25"/>
  <cols>
    <col min="1" max="1" width="24.42578125" customWidth="1"/>
    <col min="2" max="2" width="19.28515625" customWidth="1"/>
    <col min="7" max="7" width="11" customWidth="1"/>
  </cols>
  <sheetData>
    <row r="1" spans="1:10" x14ac:dyDescent="0.25">
      <c r="A1" s="2" t="s">
        <v>0</v>
      </c>
      <c r="B1" s="2" t="s">
        <v>11</v>
      </c>
      <c r="C1" s="2" t="s">
        <v>12</v>
      </c>
      <c r="D1" s="2" t="s">
        <v>17</v>
      </c>
      <c r="E1" s="2" t="s">
        <v>18</v>
      </c>
      <c r="G1" s="3" t="s">
        <v>20</v>
      </c>
      <c r="H1" s="3"/>
      <c r="I1" s="3"/>
      <c r="J1" s="3"/>
    </row>
    <row r="2" spans="1:10" x14ac:dyDescent="0.25">
      <c r="A2" s="1" t="str" cm="1">
        <f t="array" ref="A2">_xlfn.UNIQUE(_xlfn._xlws.FILTER(Data!A:A,(Data!A:A&lt;&gt;0)*(Data!A:A&lt;&gt;"Filename")))</f>
        <v>exmpl.jpg</v>
      </c>
      <c r="B2" s="1" t="s">
        <v>13</v>
      </c>
      <c r="C2" s="1" t="s">
        <v>14</v>
      </c>
      <c r="D2" s="1" t="s">
        <v>15</v>
      </c>
      <c r="E2" s="1" t="s">
        <v>14</v>
      </c>
      <c r="G2" t="s">
        <v>11</v>
      </c>
      <c r="H2" t="s">
        <v>13</v>
      </c>
      <c r="I2" t="s">
        <v>19</v>
      </c>
      <c r="J2" t="s">
        <v>16</v>
      </c>
    </row>
    <row r="3" spans="1:10" x14ac:dyDescent="0.25">
      <c r="A3" s="1"/>
      <c r="B3" s="1" t="s">
        <v>19</v>
      </c>
      <c r="C3" s="1" t="s">
        <v>14</v>
      </c>
      <c r="D3" s="1" t="s">
        <v>15</v>
      </c>
      <c r="E3" s="1" t="s">
        <v>14</v>
      </c>
      <c r="G3" t="s">
        <v>12</v>
      </c>
      <c r="H3">
        <v>4</v>
      </c>
      <c r="I3">
        <v>2</v>
      </c>
      <c r="J3">
        <v>6</v>
      </c>
    </row>
    <row r="4" spans="1:10" x14ac:dyDescent="0.25">
      <c r="A4" s="1"/>
      <c r="B4" s="1" t="s">
        <v>16</v>
      </c>
      <c r="C4" s="1" t="s">
        <v>14</v>
      </c>
      <c r="D4" s="1" t="s">
        <v>15</v>
      </c>
      <c r="E4" s="1" t="s">
        <v>14</v>
      </c>
      <c r="G4" t="s">
        <v>21</v>
      </c>
      <c r="H4">
        <v>8</v>
      </c>
      <c r="I4">
        <v>4</v>
      </c>
      <c r="J4">
        <v>8</v>
      </c>
    </row>
    <row r="5" spans="1:10" x14ac:dyDescent="0.25">
      <c r="A5" s="1"/>
      <c r="B5" s="1" t="s">
        <v>13</v>
      </c>
      <c r="C5" s="1" t="s">
        <v>14</v>
      </c>
      <c r="D5" s="1" t="s">
        <v>15</v>
      </c>
      <c r="E5" s="1" t="s">
        <v>15</v>
      </c>
      <c r="G5" t="s">
        <v>17</v>
      </c>
      <c r="H5">
        <v>4</v>
      </c>
      <c r="I5">
        <v>2</v>
      </c>
      <c r="J5">
        <v>4</v>
      </c>
    </row>
    <row r="6" spans="1:10" x14ac:dyDescent="0.25">
      <c r="A6" s="1"/>
      <c r="B6" s="1" t="s">
        <v>13</v>
      </c>
      <c r="C6" s="1" t="s">
        <v>15</v>
      </c>
      <c r="D6" s="1" t="s">
        <v>14</v>
      </c>
      <c r="E6" s="1" t="s">
        <v>15</v>
      </c>
      <c r="G6" t="s">
        <v>18</v>
      </c>
      <c r="H6">
        <v>3</v>
      </c>
      <c r="I6">
        <v>2</v>
      </c>
      <c r="J6">
        <v>4</v>
      </c>
    </row>
    <row r="7" spans="1:10" x14ac:dyDescent="0.25">
      <c r="A7" s="1"/>
      <c r="B7" s="1" t="s">
        <v>13</v>
      </c>
      <c r="C7" s="1" t="s">
        <v>15</v>
      </c>
      <c r="D7" s="1" t="s">
        <v>15</v>
      </c>
      <c r="E7" s="1" t="s">
        <v>15</v>
      </c>
    </row>
    <row r="8" spans="1:10" x14ac:dyDescent="0.25">
      <c r="A8" s="1"/>
      <c r="B8" s="1" t="s">
        <v>16</v>
      </c>
      <c r="C8" s="1" t="s">
        <v>15</v>
      </c>
      <c r="D8" s="1" t="s">
        <v>14</v>
      </c>
      <c r="E8" s="1" t="s">
        <v>15</v>
      </c>
      <c r="G8" s="3" t="s">
        <v>22</v>
      </c>
      <c r="H8" s="3"/>
      <c r="I8" s="3"/>
      <c r="J8" s="3"/>
    </row>
    <row r="9" spans="1:10" x14ac:dyDescent="0.25">
      <c r="A9" s="1"/>
      <c r="B9" s="1" t="s">
        <v>16</v>
      </c>
      <c r="C9" s="1" t="s">
        <v>15</v>
      </c>
      <c r="D9" s="1" t="s">
        <v>14</v>
      </c>
      <c r="E9" s="1" t="s">
        <v>14</v>
      </c>
      <c r="G9" t="s">
        <v>11</v>
      </c>
      <c r="H9" t="s">
        <v>13</v>
      </c>
      <c r="I9" t="s">
        <v>19</v>
      </c>
      <c r="J9" t="s">
        <v>16</v>
      </c>
    </row>
    <row r="10" spans="1:10" x14ac:dyDescent="0.25">
      <c r="A10" s="1"/>
      <c r="B10" s="1" t="s">
        <v>16</v>
      </c>
      <c r="C10" s="1" t="s">
        <v>15</v>
      </c>
      <c r="D10" s="1" t="s">
        <v>15</v>
      </c>
      <c r="E10" s="1" t="s">
        <v>15</v>
      </c>
      <c r="G10" t="s">
        <v>12</v>
      </c>
      <c r="H10">
        <f>COUNTIFS($B$2:$B$33,H$9,$C$2:$C$33,"Yes")</f>
        <v>4</v>
      </c>
      <c r="I10">
        <f>COUNTIFS($B$2:$B$33,I$9,$C$2:$C$33,"Yes")</f>
        <v>2</v>
      </c>
      <c r="J10">
        <f>COUNTIFS($B$2:$B$33,J$9,$C$2:$C$33,"Yes")</f>
        <v>6</v>
      </c>
    </row>
    <row r="11" spans="1:10" x14ac:dyDescent="0.25">
      <c r="A11" s="1"/>
      <c r="B11" s="1" t="s">
        <v>16</v>
      </c>
      <c r="C11" s="1" t="s">
        <v>15</v>
      </c>
      <c r="D11" s="1" t="s">
        <v>14</v>
      </c>
      <c r="E11" s="1" t="s">
        <v>14</v>
      </c>
      <c r="G11" t="s">
        <v>21</v>
      </c>
      <c r="H11">
        <f>COUNTIFS($B$2:$B$33,H$9,$C$2:$C$33,"No")</f>
        <v>8</v>
      </c>
      <c r="I11">
        <f>COUNTIFS($B$2:$B$33,I$9,$C$2:$C$33,"No")</f>
        <v>4</v>
      </c>
      <c r="J11">
        <f>COUNTIFS($B$2:$B$33,J$9,$C$2:$C$33,"No")</f>
        <v>8</v>
      </c>
    </row>
    <row r="12" spans="1:10" x14ac:dyDescent="0.25">
      <c r="A12" s="1"/>
      <c r="B12" s="1" t="s">
        <v>19</v>
      </c>
      <c r="C12" s="1" t="s">
        <v>15</v>
      </c>
      <c r="D12" s="1" t="s">
        <v>14</v>
      </c>
      <c r="E12" s="1" t="s">
        <v>15</v>
      </c>
      <c r="G12" t="s">
        <v>17</v>
      </c>
      <c r="H12">
        <f>COUNTIFS($B$2:$B$33,H$9,$D$2:$D$33,"Yes")</f>
        <v>4</v>
      </c>
      <c r="I12">
        <f>COUNTIFS($B$2:$B$33,I$9,$D$2:$D$33,"Yes")</f>
        <v>2</v>
      </c>
      <c r="J12">
        <f>COUNTIFS($B$2:$B$33,J$9,$D$2:$D$33,"Yes")</f>
        <v>4</v>
      </c>
    </row>
    <row r="13" spans="1:10" x14ac:dyDescent="0.25">
      <c r="A13" s="1"/>
      <c r="B13" s="1" t="s">
        <v>13</v>
      </c>
      <c r="C13" s="1" t="s">
        <v>15</v>
      </c>
      <c r="D13" s="1" t="s">
        <v>15</v>
      </c>
      <c r="E13" s="1" t="s">
        <v>15</v>
      </c>
      <c r="G13" t="s">
        <v>18</v>
      </c>
      <c r="H13">
        <f>COUNTIFS($B$2:$B$33,H$9,$E$2:$E$33,"Yes")</f>
        <v>3</v>
      </c>
      <c r="I13">
        <f>COUNTIFS($B$2:$B$33,I$9,$E$2:$E$33,"Yes")</f>
        <v>2</v>
      </c>
      <c r="J13">
        <f>COUNTIFS($B$2:$B$33,J$9,$E$2:$E$33,"Yes")</f>
        <v>4</v>
      </c>
    </row>
    <row r="14" spans="1:10" x14ac:dyDescent="0.25">
      <c r="A14" s="1"/>
      <c r="B14" s="1" t="s">
        <v>16</v>
      </c>
      <c r="C14" s="1" t="s">
        <v>15</v>
      </c>
      <c r="D14" s="1" t="s">
        <v>15</v>
      </c>
      <c r="E14" s="1" t="s">
        <v>15</v>
      </c>
    </row>
    <row r="15" spans="1:10" x14ac:dyDescent="0.25">
      <c r="A15" s="1"/>
      <c r="B15" s="1" t="s">
        <v>19</v>
      </c>
      <c r="C15" s="1" t="s">
        <v>15</v>
      </c>
      <c r="D15" s="1" t="s">
        <v>14</v>
      </c>
      <c r="E15" s="1" t="s">
        <v>14</v>
      </c>
      <c r="H15" t="s">
        <v>17</v>
      </c>
      <c r="I15" t="s">
        <v>23</v>
      </c>
    </row>
    <row r="16" spans="1:10" x14ac:dyDescent="0.25">
      <c r="A16" s="1"/>
      <c r="B16" s="1" t="s">
        <v>16</v>
      </c>
      <c r="C16" s="1" t="s">
        <v>15</v>
      </c>
      <c r="D16" s="1" t="s">
        <v>15</v>
      </c>
      <c r="E16" s="1" t="s">
        <v>15</v>
      </c>
      <c r="G16" t="s">
        <v>12</v>
      </c>
      <c r="H16">
        <v>0</v>
      </c>
      <c r="I16">
        <v>12</v>
      </c>
    </row>
    <row r="17" spans="1:9" x14ac:dyDescent="0.25">
      <c r="A17" s="1"/>
      <c r="B17" s="1" t="s">
        <v>16</v>
      </c>
      <c r="C17" s="1" t="s">
        <v>14</v>
      </c>
      <c r="D17" s="1" t="s">
        <v>15</v>
      </c>
      <c r="E17" s="1" t="s">
        <v>15</v>
      </c>
      <c r="G17" t="s">
        <v>21</v>
      </c>
      <c r="H17">
        <v>10</v>
      </c>
      <c r="I17">
        <v>10</v>
      </c>
    </row>
    <row r="18" spans="1:9" x14ac:dyDescent="0.25">
      <c r="A18" s="1"/>
      <c r="B18" s="1" t="s">
        <v>19</v>
      </c>
      <c r="C18" s="1" t="s">
        <v>14</v>
      </c>
      <c r="D18" s="1" t="s">
        <v>15</v>
      </c>
      <c r="E18" s="1" t="s">
        <v>15</v>
      </c>
    </row>
    <row r="19" spans="1:9" x14ac:dyDescent="0.25">
      <c r="A19" s="1"/>
      <c r="B19" s="1" t="s">
        <v>13</v>
      </c>
      <c r="C19" s="1" t="s">
        <v>14</v>
      </c>
      <c r="D19" s="1" t="s">
        <v>15</v>
      </c>
      <c r="E19" s="1" t="s">
        <v>15</v>
      </c>
    </row>
    <row r="20" spans="1:9" x14ac:dyDescent="0.25">
      <c r="A20" s="1"/>
      <c r="B20" s="1" t="s">
        <v>13</v>
      </c>
      <c r="C20" s="1" t="s">
        <v>15</v>
      </c>
      <c r="D20" s="1" t="s">
        <v>15</v>
      </c>
      <c r="E20" s="1" t="s">
        <v>15</v>
      </c>
    </row>
    <row r="21" spans="1:9" x14ac:dyDescent="0.25">
      <c r="A21" s="1"/>
      <c r="B21" s="1" t="s">
        <v>19</v>
      </c>
      <c r="C21" s="1" t="s">
        <v>15</v>
      </c>
      <c r="D21" s="1" t="s">
        <v>15</v>
      </c>
      <c r="E21" s="1" t="s">
        <v>15</v>
      </c>
      <c r="H21" t="s">
        <v>17</v>
      </c>
      <c r="I21" t="s">
        <v>23</v>
      </c>
    </row>
    <row r="22" spans="1:9" x14ac:dyDescent="0.25">
      <c r="A22" s="1"/>
      <c r="B22" s="1" t="s">
        <v>13</v>
      </c>
      <c r="C22" s="1" t="s">
        <v>15</v>
      </c>
      <c r="D22" s="1" t="s">
        <v>14</v>
      </c>
      <c r="E22" s="1" t="s">
        <v>15</v>
      </c>
      <c r="G22" t="s">
        <v>12</v>
      </c>
      <c r="H22">
        <f>COUNTIFS($C$2:$C$33,"Yes",$D$2:$D$33,"Yes")</f>
        <v>0</v>
      </c>
      <c r="I22">
        <f>COUNTIFS($C$2:$C$33,"Yes",$D$2:$D$33,"No")</f>
        <v>12</v>
      </c>
    </row>
    <row r="23" spans="1:9" x14ac:dyDescent="0.25">
      <c r="A23" s="1"/>
      <c r="B23" s="1" t="s">
        <v>16</v>
      </c>
      <c r="C23" s="1" t="s">
        <v>15</v>
      </c>
      <c r="D23" s="1" t="s">
        <v>15</v>
      </c>
      <c r="E23" s="1" t="s">
        <v>15</v>
      </c>
      <c r="G23" t="s">
        <v>21</v>
      </c>
      <c r="H23">
        <f>COUNTIFS($C$2:$C$33,"No",$D$2:$D$33,"Yes")</f>
        <v>10</v>
      </c>
      <c r="I23">
        <f>COUNTIFS($C$2:$C$33,"No",$D$2:$D$33,"No")</f>
        <v>10</v>
      </c>
    </row>
    <row r="24" spans="1:9" x14ac:dyDescent="0.25">
      <c r="A24" s="1"/>
      <c r="B24" s="1" t="s">
        <v>19</v>
      </c>
      <c r="C24" s="1" t="s">
        <v>15</v>
      </c>
      <c r="D24" s="1" t="s">
        <v>15</v>
      </c>
      <c r="E24" s="1" t="s">
        <v>15</v>
      </c>
    </row>
    <row r="25" spans="1:9" x14ac:dyDescent="0.25">
      <c r="A25" s="1"/>
      <c r="B25" s="1" t="s">
        <v>13</v>
      </c>
      <c r="C25" s="1" t="s">
        <v>15</v>
      </c>
      <c r="D25" s="1" t="s">
        <v>15</v>
      </c>
      <c r="E25" s="1" t="s">
        <v>15</v>
      </c>
    </row>
    <row r="26" spans="1:9" x14ac:dyDescent="0.25">
      <c r="A26" s="1"/>
      <c r="B26" s="1" t="s">
        <v>16</v>
      </c>
      <c r="C26" s="1" t="s">
        <v>15</v>
      </c>
      <c r="D26" s="1" t="s">
        <v>14</v>
      </c>
      <c r="E26" s="1" t="s">
        <v>14</v>
      </c>
    </row>
    <row r="27" spans="1:9" x14ac:dyDescent="0.25">
      <c r="A27" s="1"/>
      <c r="B27" s="1" t="s">
        <v>16</v>
      </c>
      <c r="C27" s="1" t="s">
        <v>14</v>
      </c>
      <c r="D27" s="1" t="s">
        <v>15</v>
      </c>
      <c r="E27" s="1" t="s">
        <v>15</v>
      </c>
    </row>
    <row r="28" spans="1:9" x14ac:dyDescent="0.25">
      <c r="A28" s="1"/>
      <c r="B28" s="1" t="s">
        <v>13</v>
      </c>
      <c r="C28" s="1" t="s">
        <v>14</v>
      </c>
      <c r="D28" s="1" t="s">
        <v>15</v>
      </c>
      <c r="E28" s="1" t="s">
        <v>15</v>
      </c>
    </row>
    <row r="29" spans="1:9" x14ac:dyDescent="0.25">
      <c r="A29" s="1"/>
      <c r="B29" s="1" t="s">
        <v>16</v>
      </c>
      <c r="C29" s="1" t="s">
        <v>14</v>
      </c>
      <c r="D29" s="1" t="s">
        <v>15</v>
      </c>
      <c r="E29" s="1" t="s">
        <v>15</v>
      </c>
    </row>
    <row r="30" spans="1:9" x14ac:dyDescent="0.25">
      <c r="A30" s="1"/>
      <c r="B30" s="1" t="s">
        <v>16</v>
      </c>
      <c r="C30" s="1" t="s">
        <v>14</v>
      </c>
      <c r="D30" s="1" t="s">
        <v>15</v>
      </c>
      <c r="E30" s="1" t="s">
        <v>15</v>
      </c>
    </row>
    <row r="31" spans="1:9" x14ac:dyDescent="0.25">
      <c r="A31" s="1"/>
      <c r="B31" s="1" t="s">
        <v>13</v>
      </c>
      <c r="C31" s="1" t="s">
        <v>15</v>
      </c>
      <c r="D31" s="1" t="s">
        <v>14</v>
      </c>
      <c r="E31" s="1" t="s">
        <v>14</v>
      </c>
    </row>
    <row r="32" spans="1:9" x14ac:dyDescent="0.25">
      <c r="A32" s="1"/>
      <c r="B32" s="1" t="s">
        <v>16</v>
      </c>
      <c r="C32" s="1" t="s">
        <v>14</v>
      </c>
      <c r="D32" s="1" t="s">
        <v>15</v>
      </c>
      <c r="E32" s="1" t="s">
        <v>15</v>
      </c>
    </row>
    <row r="33" spans="1:5" x14ac:dyDescent="0.25">
      <c r="A33" s="1"/>
      <c r="B33" s="1" t="s">
        <v>13</v>
      </c>
      <c r="C33" s="1" t="s">
        <v>15</v>
      </c>
      <c r="D33" s="1" t="s">
        <v>14</v>
      </c>
      <c r="E33" s="1" t="s">
        <v>14</v>
      </c>
    </row>
  </sheetData>
  <autoFilter ref="A1:E33" xr:uid="{073508C4-4A7E-43AA-9745-E1C02D564238}"/>
  <mergeCells count="2">
    <mergeCell ref="G1:J1"/>
    <mergeCell ref="G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lettuceman</dc:creator>
  <cp:lastModifiedBy>Domantas Pilipavičius</cp:lastModifiedBy>
  <dcterms:created xsi:type="dcterms:W3CDTF">2015-06-05T18:17:20Z</dcterms:created>
  <dcterms:modified xsi:type="dcterms:W3CDTF">2026-01-15T13:44:53Z</dcterms:modified>
</cp:coreProperties>
</file>